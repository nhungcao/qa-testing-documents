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D:\SoftwareTesting\Templates\My Template and example\"/>
    </mc:Choice>
  </mc:AlternateContent>
  <bookViews>
    <workbookView xWindow="0" yWindow="0" windowWidth="23040" windowHeight="9192" tabRatio="934" activeTab="1"/>
  </bookViews>
  <sheets>
    <sheet name="Cover" sheetId="8" r:id="rId1"/>
    <sheet name="FeatureName" sheetId="16" r:id="rId2"/>
  </sheets>
  <definedNames>
    <definedName name="_xlnm._FilterDatabase" localSheetId="1" hidden="1">FeatureName!$A$15:$H$25</definedName>
    <definedName name="ACTION" localSheetId="1">#REF!</definedName>
    <definedName name="ACTION">#REF!</definedName>
  </definedNames>
  <calcPr calcId="162913"/>
</workbook>
</file>

<file path=xl/calcChain.xml><?xml version="1.0" encoding="utf-8"?>
<calcChain xmlns="http://schemas.openxmlformats.org/spreadsheetml/2006/main">
  <c r="B11" i="16" l="1"/>
  <c r="F9" i="16" l="1"/>
  <c r="E9" i="16"/>
  <c r="D9" i="16"/>
  <c r="C9" i="16"/>
  <c r="B9" i="16"/>
  <c r="F8" i="16"/>
  <c r="E8" i="16"/>
  <c r="D8" i="16"/>
  <c r="C8" i="16"/>
  <c r="B8" i="16"/>
  <c r="F7" i="16"/>
  <c r="E7" i="16"/>
  <c r="D7" i="16"/>
  <c r="C7" i="16"/>
  <c r="B7" i="16"/>
  <c r="E10" i="16" l="1"/>
  <c r="C10" i="16"/>
  <c r="B10" i="16"/>
  <c r="F10" i="16"/>
  <c r="D10" i="16"/>
</calcChain>
</file>

<file path=xl/comments1.xml><?xml version="1.0" encoding="utf-8"?>
<comments xmlns="http://schemas.openxmlformats.org/spreadsheetml/2006/main">
  <authors>
    <author/>
  </authors>
  <commentList>
    <comment ref="E11" authorId="0" shapeId="0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<sst xmlns="http://schemas.openxmlformats.org/spreadsheetml/2006/main" count="59" uniqueCount="50">
  <si>
    <t>Version</t>
  </si>
  <si>
    <t>Expected result</t>
  </si>
  <si>
    <t>Test result</t>
  </si>
  <si>
    <t>IE9</t>
  </si>
  <si>
    <t>FF28</t>
  </si>
  <si>
    <t>Chrome</t>
  </si>
  <si>
    <t>Passed</t>
  </si>
  <si>
    <t>Failed</t>
  </si>
  <si>
    <t>N/A</t>
  </si>
  <si>
    <t>Reference</t>
  </si>
  <si>
    <t>Change description</t>
  </si>
  <si>
    <t>*A,D,M</t>
  </si>
  <si>
    <t>Change Item</t>
  </si>
  <si>
    <t>Effective Date</t>
  </si>
  <si>
    <t>Record of change</t>
  </si>
  <si>
    <t>Approved Date</t>
  </si>
  <si>
    <t>Approver</t>
  </si>
  <si>
    <t>Reviewed Date</t>
  </si>
  <si>
    <t>Creator</t>
  </si>
  <si>
    <t>Reviewer</t>
  </si>
  <si>
    <t>Project Name</t>
  </si>
  <si>
    <t>Not Run</t>
  </si>
  <si>
    <t>Blocked</t>
  </si>
  <si>
    <t>Total</t>
  </si>
  <si>
    <t>TEST CHECKLIST</t>
  </si>
  <si>
    <t>Total test cases</t>
  </si>
  <si>
    <t>1.0</t>
  </si>
  <si>
    <t xml:space="preserve">Test date: </t>
  </si>
  <si>
    <t>Steps</t>
  </si>
  <si>
    <t>Describe Steps to be executed
'-step1
-step2
-…</t>
  </si>
  <si>
    <t>Tested by:</t>
  </si>
  <si>
    <t>Describe sub item/function or braching case to be verify</t>
  </si>
  <si>
    <t>Describe sub item/function/actions or braching case to be verify</t>
  </si>
  <si>
    <t>Describe what sub item/function/actions or braching case to be verified?</t>
  </si>
  <si>
    <t>Creator: Nhung Cao</t>
  </si>
  <si>
    <t>Verify whether Add Floor port Screen open when click on Add button</t>
  </si>
  <si>
    <t>Click Add button</t>
  </si>
  <si>
    <t>Add Floor port Screen open</t>
  </si>
  <si>
    <t>Verify whether none data in Rack Drop down list when there is none Rack available</t>
  </si>
  <si>
    <t xml:space="preserve">1. Make sure 
2. Click Add button
</t>
  </si>
  <si>
    <t>Summary</t>
  </si>
  <si>
    <t>ID</t>
  </si>
  <si>
    <t>Actual result</t>
  </si>
  <si>
    <t>Notes</t>
  </si>
  <si>
    <t>Pre-steps</t>
  </si>
  <si>
    <t xml:space="preserve">1. These below cases must be tested with these user roles/actors/users:
- Tier 2 Admin
- Tier 2 Super Admin
2. The user is at Floor Ports Administration screen
3. Selected a Room
</t>
  </si>
  <si>
    <t>Validation Testing</t>
  </si>
  <si>
    <t>Functional testing</t>
  </si>
  <si>
    <t>create new</t>
  </si>
  <si>
    <t>Checklist for &lt;Feature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</si>
</sst>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d\-mmm\-yy;@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6"/>
      <color indexed="10"/>
      <name val="Arial"/>
      <family val="2"/>
    </font>
    <font>
      <b/>
      <sz val="10"/>
      <name val="Arial"/>
      <family val="2"/>
    </font>
    <font>
      <b/>
      <u/>
      <sz val="16"/>
      <name val="Arial"/>
      <family val="2"/>
    </font>
    <font>
      <b/>
      <sz val="10"/>
      <color indexed="16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ＭＳ Ｐゴシック"/>
      <family val="2"/>
      <charset val="128"/>
    </font>
    <font>
      <sz val="10"/>
      <name val="Tahoma"/>
      <family val="2"/>
    </font>
    <font>
      <i/>
      <sz val="10"/>
      <color indexed="17"/>
      <name val="Tahoma"/>
      <family val="2"/>
    </font>
    <font>
      <b/>
      <sz val="10"/>
      <color indexed="60"/>
      <name val="Tahoma"/>
      <family val="2"/>
    </font>
    <font>
      <b/>
      <sz val="26"/>
      <color indexed="10"/>
      <name val="Tahoma"/>
      <family val="2"/>
    </font>
    <font>
      <b/>
      <sz val="22"/>
      <color indexed="10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9"/>
      <name val="Arial"/>
      <family val="2"/>
    </font>
    <font>
      <b/>
      <sz val="11"/>
      <color indexed="9"/>
      <name val="Calibri"/>
      <family val="2"/>
    </font>
    <font>
      <b/>
      <sz val="16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明朝"/>
      <family val="3"/>
      <charset val="128"/>
    </font>
    <font>
      <b/>
      <sz val="9"/>
      <color indexed="9"/>
      <name val="Arial"/>
      <family val="2"/>
    </font>
    <font>
      <b/>
      <sz val="9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color rgb="FFFF0000"/>
      <name val="Arial"/>
      <family val="2"/>
    </font>
    <font>
      <b/>
      <sz val="16"/>
      <color rgb="FF0000FF"/>
      <name val="Arial"/>
      <family val="2"/>
    </font>
    <font>
      <b/>
      <sz val="20"/>
      <color rgb="FF0000FF"/>
      <name val="Tahoma"/>
      <family val="2"/>
    </font>
    <font>
      <b/>
      <sz val="10"/>
      <color rgb="FF0000FF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6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-0.249977111117893"/>
        <bgColor indexed="26"/>
      </patternFill>
    </fill>
    <fill>
      <patternFill patternType="solid">
        <fgColor theme="9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32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0" fontId="2" fillId="0" borderId="0"/>
    <xf numFmtId="0" fontId="8" fillId="0" borderId="0"/>
    <xf numFmtId="0" fontId="6" fillId="2" borderId="0">
      <alignment horizontal="center" vertical="center" wrapText="1"/>
    </xf>
    <xf numFmtId="0" fontId="7" fillId="3" borderId="1">
      <alignment horizontal="center" vertical="center" wrapText="1"/>
    </xf>
    <xf numFmtId="0" fontId="2" fillId="2" borderId="1">
      <alignment vertical="center" wrapText="1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22" borderId="0" applyNumberFormat="0" applyBorder="0" applyAlignment="0" applyProtection="0"/>
    <xf numFmtId="164" fontId="2" fillId="23" borderId="0"/>
    <xf numFmtId="0" fontId="23" fillId="6" borderId="0" applyNumberFormat="0" applyBorder="0" applyAlignment="0" applyProtection="0"/>
    <xf numFmtId="164" fontId="2" fillId="0" borderId="0">
      <alignment horizontal="left" vertical="top" wrapText="1" indent="2"/>
    </xf>
    <xf numFmtId="0" fontId="24" fillId="24" borderId="18" applyNumberFormat="0" applyAlignment="0" applyProtection="0"/>
    <xf numFmtId="164" fontId="25" fillId="0" borderId="19" applyFont="0"/>
    <xf numFmtId="0" fontId="26" fillId="25" borderId="20" applyNumberFormat="0" applyAlignment="0" applyProtection="0"/>
    <xf numFmtId="2" fontId="27" fillId="0" borderId="0">
      <alignment horizontal="center" vertical="center" wrapText="1"/>
    </xf>
    <xf numFmtId="0" fontId="28" fillId="0" borderId="0" applyNumberFormat="0" applyFill="0" applyBorder="0" applyAlignment="0" applyProtection="0"/>
    <xf numFmtId="0" fontId="29" fillId="7" borderId="0" applyNumberFormat="0" applyBorder="0" applyAlignment="0" applyProtection="0"/>
    <xf numFmtId="164" fontId="25" fillId="26" borderId="19">
      <alignment horizontal="left" vertical="center"/>
    </xf>
    <xf numFmtId="164" fontId="25" fillId="27" borderId="19" applyAlignment="0">
      <alignment horizontal="center" vertical="center"/>
    </xf>
    <xf numFmtId="164" fontId="5" fillId="0" borderId="0">
      <alignment horizontal="left"/>
    </xf>
    <xf numFmtId="0" fontId="30" fillId="0" borderId="21" applyNumberFormat="0" applyFill="0" applyAlignment="0" applyProtection="0"/>
    <xf numFmtId="0" fontId="31" fillId="0" borderId="22" applyNumberFormat="0" applyFill="0" applyAlignment="0" applyProtection="0"/>
    <xf numFmtId="0" fontId="32" fillId="0" borderId="23" applyNumberFormat="0" applyFill="0" applyAlignment="0" applyProtection="0"/>
    <xf numFmtId="0" fontId="32" fillId="0" borderId="0" applyNumberFormat="0" applyFill="0" applyBorder="0" applyAlignment="0" applyProtection="0"/>
    <xf numFmtId="0" fontId="33" fillId="10" borderId="18" applyNumberFormat="0" applyAlignment="0" applyProtection="0"/>
    <xf numFmtId="0" fontId="34" fillId="0" borderId="24" applyNumberFormat="0" applyFill="0" applyAlignment="0" applyProtection="0"/>
    <xf numFmtId="0" fontId="35" fillId="28" borderId="0" applyNumberFormat="0" applyBorder="0" applyAlignment="0" applyProtection="0"/>
    <xf numFmtId="0" fontId="2" fillId="29" borderId="19" applyNumberFormat="0" applyFont="0" applyAlignment="0" applyProtection="0"/>
    <xf numFmtId="0" fontId="36" fillId="24" borderId="25" applyNumberFormat="0" applyAlignment="0" applyProtection="0"/>
    <xf numFmtId="0" fontId="6" fillId="2" borderId="0">
      <alignment horizontal="center" vertical="center" wrapText="1"/>
    </xf>
    <xf numFmtId="164" fontId="5" fillId="0" borderId="0">
      <alignment vertical="center"/>
    </xf>
    <xf numFmtId="0" fontId="7" fillId="3" borderId="26">
      <alignment horizontal="center" vertical="center" wrapText="1"/>
    </xf>
    <xf numFmtId="0" fontId="37" fillId="0" borderId="0" applyNumberFormat="0" applyFill="0" applyBorder="0" applyAlignment="0" applyProtection="0"/>
    <xf numFmtId="0" fontId="38" fillId="0" borderId="27" applyNumberFormat="0" applyFill="0" applyAlignment="0" applyProtection="0"/>
    <xf numFmtId="0" fontId="39" fillId="0" borderId="0" applyNumberFormat="0" applyFill="0" applyBorder="0" applyAlignment="0" applyProtection="0"/>
    <xf numFmtId="164" fontId="4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7" fillId="3" borderId="30">
      <alignment horizontal="center" vertical="center" wrapText="1"/>
    </xf>
    <xf numFmtId="0" fontId="7" fillId="3" borderId="30">
      <alignment horizontal="center" vertical="center" wrapText="1"/>
    </xf>
  </cellStyleXfs>
  <cellXfs count="106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Fill="1" applyBorder="1"/>
    <xf numFmtId="0" fontId="2" fillId="0" borderId="0" xfId="1" applyFont="1" applyBorder="1" applyAlignment="1">
      <alignment vertical="center" wrapText="1"/>
    </xf>
    <xf numFmtId="14" fontId="2" fillId="0" borderId="0" xfId="1" applyNumberFormat="1" applyBorder="1" applyAlignment="1">
      <alignment vertical="center" wrapText="1"/>
    </xf>
    <xf numFmtId="14" fontId="2" fillId="0" borderId="0" xfId="1" applyNumberFormat="1" applyBorder="1" applyAlignment="1">
      <alignment horizontal="left" vertical="center" wrapText="1"/>
    </xf>
    <xf numFmtId="0" fontId="2" fillId="0" borderId="0" xfId="1" applyBorder="1" applyAlignment="1">
      <alignment horizontal="left" vertical="center" wrapText="1"/>
    </xf>
    <xf numFmtId="14" fontId="2" fillId="0" borderId="0" xfId="1" applyNumberFormat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top" wrapText="1"/>
    </xf>
    <xf numFmtId="0" fontId="2" fillId="0" borderId="0" xfId="1" applyBorder="1" applyAlignment="1">
      <alignment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0" xfId="1" applyBorder="1" applyAlignment="1">
      <alignment horizontal="center" vertical="center" wrapText="1"/>
    </xf>
    <xf numFmtId="0" fontId="9" fillId="4" borderId="4" xfId="1" quotePrefix="1" applyFont="1" applyFill="1" applyBorder="1" applyAlignment="1">
      <alignment horizontal="left" vertical="top" wrapText="1"/>
    </xf>
    <xf numFmtId="0" fontId="14" fillId="0" borderId="0" xfId="12" applyFont="1"/>
    <xf numFmtId="0" fontId="14" fillId="0" borderId="0" xfId="12" applyFont="1" applyAlignment="1">
      <alignment horizontal="left" indent="1"/>
    </xf>
    <xf numFmtId="0" fontId="14" fillId="0" borderId="0" xfId="12" applyFont="1" applyAlignment="1">
      <alignment vertical="top"/>
    </xf>
    <xf numFmtId="0" fontId="2" fillId="0" borderId="6" xfId="12" applyFont="1" applyBorder="1" applyAlignment="1">
      <alignment horizontal="left" vertical="top"/>
    </xf>
    <xf numFmtId="0" fontId="2" fillId="0" borderId="7" xfId="12" applyFont="1" applyBorder="1" applyAlignment="1">
      <alignment horizontal="left" vertical="top"/>
    </xf>
    <xf numFmtId="0" fontId="2" fillId="0" borderId="7" xfId="12" applyFont="1" applyBorder="1" applyAlignment="1">
      <alignment horizontal="center" vertical="top"/>
    </xf>
    <xf numFmtId="49" fontId="2" fillId="0" borderId="7" xfId="12" applyNumberFormat="1" applyFont="1" applyBorder="1" applyAlignment="1">
      <alignment horizontal="center" vertical="top"/>
    </xf>
    <xf numFmtId="165" fontId="2" fillId="0" borderId="8" xfId="12" applyNumberFormat="1" applyFont="1" applyBorder="1" applyAlignment="1">
      <alignment vertical="top"/>
    </xf>
    <xf numFmtId="0" fontId="2" fillId="0" borderId="9" xfId="12" applyFont="1" applyBorder="1" applyAlignment="1">
      <alignment horizontal="left" vertical="top"/>
    </xf>
    <xf numFmtId="0" fontId="2" fillId="0" borderId="10" xfId="12" applyFont="1" applyBorder="1" applyAlignment="1">
      <alignment horizontal="left" vertical="top"/>
    </xf>
    <xf numFmtId="0" fontId="2" fillId="0" borderId="10" xfId="12" applyFont="1" applyBorder="1" applyAlignment="1">
      <alignment horizontal="center" vertical="top"/>
    </xf>
    <xf numFmtId="49" fontId="2" fillId="0" borderId="10" xfId="12" applyNumberFormat="1" applyFont="1" applyBorder="1" applyAlignment="1">
      <alignment horizontal="center" vertical="top"/>
    </xf>
    <xf numFmtId="165" fontId="2" fillId="0" borderId="11" xfId="12" applyNumberFormat="1" applyFont="1" applyBorder="1" applyAlignment="1">
      <alignment vertical="top"/>
    </xf>
    <xf numFmtId="0" fontId="2" fillId="0" borderId="9" xfId="12" applyFont="1" applyBorder="1" applyAlignment="1">
      <alignment horizontal="left" vertical="top" wrapText="1"/>
    </xf>
    <xf numFmtId="0" fontId="14" fillId="0" borderId="0" xfId="12" applyFont="1" applyAlignment="1">
      <alignment vertical="center"/>
    </xf>
    <xf numFmtId="0" fontId="14" fillId="0" borderId="0" xfId="12" applyFont="1" applyBorder="1"/>
    <xf numFmtId="0" fontId="14" fillId="0" borderId="0" xfId="12" applyFont="1" applyBorder="1" applyAlignment="1">
      <alignment horizontal="left" indent="1"/>
    </xf>
    <xf numFmtId="0" fontId="15" fillId="0" borderId="0" xfId="12" applyFont="1" applyBorder="1" applyAlignment="1">
      <alignment horizontal="left" indent="1"/>
    </xf>
    <xf numFmtId="0" fontId="16" fillId="4" borderId="0" xfId="12" applyFont="1" applyFill="1" applyBorder="1" applyAlignment="1">
      <alignment horizontal="left" indent="1"/>
    </xf>
    <xf numFmtId="0" fontId="14" fillId="0" borderId="0" xfId="12" applyFont="1" applyBorder="1" applyAlignment="1"/>
    <xf numFmtId="0" fontId="15" fillId="0" borderId="0" xfId="12" applyFont="1" applyBorder="1" applyAlignment="1">
      <alignment horizontal="left"/>
    </xf>
    <xf numFmtId="0" fontId="16" fillId="4" borderId="0" xfId="12" applyFont="1" applyFill="1" applyBorder="1"/>
    <xf numFmtId="0" fontId="14" fillId="0" borderId="15" xfId="12" applyFont="1" applyBorder="1" applyAlignment="1"/>
    <xf numFmtId="0" fontId="14" fillId="4" borderId="0" xfId="12" applyFont="1" applyFill="1"/>
    <xf numFmtId="0" fontId="15" fillId="0" borderId="0" xfId="12" applyFont="1" applyAlignment="1">
      <alignment horizontal="left" indent="1"/>
    </xf>
    <xf numFmtId="0" fontId="16" fillId="4" borderId="0" xfId="12" applyFont="1" applyFill="1" applyAlignment="1">
      <alignment horizontal="left" indent="1"/>
    </xf>
    <xf numFmtId="0" fontId="14" fillId="0" borderId="0" xfId="12" applyFont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0" fontId="18" fillId="4" borderId="0" xfId="12" applyFont="1" applyFill="1" applyAlignment="1">
      <alignment horizontal="center" vertical="center"/>
    </xf>
    <xf numFmtId="15" fontId="2" fillId="0" borderId="11" xfId="12" applyNumberFormat="1" applyFont="1" applyBorder="1" applyAlignment="1">
      <alignment vertical="top" wrapText="1"/>
    </xf>
    <xf numFmtId="49" fontId="2" fillId="0" borderId="10" xfId="12" quotePrefix="1" applyNumberFormat="1" applyFont="1" applyBorder="1" applyAlignment="1">
      <alignment horizontal="center" vertical="top"/>
    </xf>
    <xf numFmtId="15" fontId="2" fillId="0" borderId="10" xfId="12" quotePrefix="1" applyNumberFormat="1" applyFont="1" applyBorder="1" applyAlignment="1">
      <alignment horizontal="left" vertical="top"/>
    </xf>
    <xf numFmtId="0" fontId="2" fillId="0" borderId="26" xfId="1" quotePrefix="1" applyFont="1" applyFill="1" applyBorder="1" applyAlignment="1">
      <alignment horizontal="left" vertical="center" wrapText="1"/>
    </xf>
    <xf numFmtId="0" fontId="2" fillId="0" borderId="26" xfId="1" quotePrefix="1" applyFont="1" applyFill="1" applyBorder="1" applyAlignment="1">
      <alignment horizontal="left" vertical="top" wrapText="1"/>
    </xf>
    <xf numFmtId="0" fontId="25" fillId="0" borderId="0" xfId="1" applyFont="1"/>
    <xf numFmtId="0" fontId="25" fillId="0" borderId="0" xfId="1" applyFont="1" applyFill="1" applyBorder="1" applyAlignment="1">
      <alignment horizontal="center" wrapText="1"/>
    </xf>
    <xf numFmtId="0" fontId="25" fillId="0" borderId="0" xfId="1" applyFont="1" applyBorder="1" applyAlignment="1">
      <alignment horizontal="center" vertical="top" wrapText="1"/>
    </xf>
    <xf numFmtId="0" fontId="41" fillId="0" borderId="29" xfId="67" applyFont="1" applyFill="1" applyBorder="1" applyAlignment="1">
      <alignment horizontal="center" vertical="center" wrapText="1"/>
    </xf>
    <xf numFmtId="0" fontId="41" fillId="0" borderId="28" xfId="67" applyFont="1" applyFill="1" applyBorder="1" applyAlignment="1">
      <alignment horizontal="center" vertical="center" wrapText="1"/>
    </xf>
    <xf numFmtId="0" fontId="2" fillId="0" borderId="0" xfId="1" applyFill="1" applyAlignment="1">
      <alignment vertical="center"/>
    </xf>
    <xf numFmtId="0" fontId="2" fillId="0" borderId="0" xfId="1" applyFill="1" applyBorder="1" applyAlignment="1">
      <alignment vertical="center"/>
    </xf>
    <xf numFmtId="0" fontId="41" fillId="0" borderId="0" xfId="67" applyFont="1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14" fillId="0" borderId="15" xfId="12" quotePrefix="1" applyFont="1" applyBorder="1" applyAlignment="1"/>
    <xf numFmtId="0" fontId="2" fillId="0" borderId="30" xfId="1" quotePrefix="1" applyFont="1" applyFill="1" applyBorder="1" applyAlignment="1">
      <alignment horizontal="left" vertical="center" wrapText="1"/>
    </xf>
    <xf numFmtId="0" fontId="2" fillId="0" borderId="30" xfId="1" quotePrefix="1" applyFont="1" applyFill="1" applyBorder="1" applyAlignment="1">
      <alignment horizontal="left" vertical="top" wrapText="1"/>
    </xf>
    <xf numFmtId="0" fontId="5" fillId="0" borderId="30" xfId="1" applyFont="1" applyFill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0" xfId="67" applyFont="1" applyFill="1" applyBorder="1" applyAlignment="1">
      <alignment horizontal="left" vertical="top" wrapText="1"/>
    </xf>
    <xf numFmtId="0" fontId="25" fillId="0" borderId="30" xfId="1" applyFont="1" applyBorder="1" applyAlignment="1">
      <alignment horizontal="center" vertical="top" wrapText="1"/>
    </xf>
    <xf numFmtId="0" fontId="42" fillId="0" borderId="30" xfId="67" applyFont="1" applyFill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 wrapText="1"/>
    </xf>
    <xf numFmtId="0" fontId="2" fillId="0" borderId="30" xfId="1" quotePrefix="1" applyFont="1" applyFill="1" applyBorder="1" applyAlignment="1">
      <alignment horizontal="center" vertical="center"/>
    </xf>
    <xf numFmtId="0" fontId="44" fillId="0" borderId="4" xfId="1" quotePrefix="1" applyFont="1" applyFill="1" applyBorder="1" applyAlignment="1">
      <alignment horizontal="left" vertical="center" wrapText="1"/>
    </xf>
    <xf numFmtId="0" fontId="43" fillId="0" borderId="4" xfId="1" quotePrefix="1" applyFont="1" applyFill="1" applyBorder="1" applyAlignment="1">
      <alignment horizontal="left" vertical="top" wrapText="1"/>
    </xf>
    <xf numFmtId="0" fontId="2" fillId="0" borderId="4" xfId="1" quotePrefix="1" applyFont="1" applyFill="1" applyBorder="1" applyAlignment="1">
      <alignment horizontal="left" vertical="center" wrapText="1"/>
    </xf>
    <xf numFmtId="0" fontId="9" fillId="0" borderId="4" xfId="1" quotePrefix="1" applyFont="1" applyFill="1" applyBorder="1" applyAlignment="1">
      <alignment horizontal="left" vertical="top" wrapText="1"/>
    </xf>
    <xf numFmtId="0" fontId="46" fillId="0" borderId="0" xfId="1" applyFont="1" applyBorder="1" applyAlignment="1">
      <alignment horizontal="left" vertical="top" wrapText="1"/>
    </xf>
    <xf numFmtId="0" fontId="41" fillId="31" borderId="30" xfId="67" applyFont="1" applyFill="1" applyBorder="1" applyAlignment="1">
      <alignment horizontal="left" vertical="top" wrapText="1"/>
    </xf>
    <xf numFmtId="0" fontId="41" fillId="31" borderId="30" xfId="67" applyFont="1" applyFill="1" applyBorder="1" applyAlignment="1">
      <alignment horizontal="center" vertical="center" wrapText="1"/>
    </xf>
    <xf numFmtId="0" fontId="45" fillId="31" borderId="30" xfId="67" applyFont="1" applyFill="1" applyBorder="1" applyAlignment="1">
      <alignment horizontal="center" vertical="center" wrapText="1"/>
    </xf>
    <xf numFmtId="0" fontId="10" fillId="32" borderId="30" xfId="1" applyFont="1" applyFill="1" applyBorder="1" applyAlignment="1">
      <alignment horizontal="left" vertical="center" wrapText="1"/>
    </xf>
    <xf numFmtId="0" fontId="10" fillId="32" borderId="31" xfId="1" applyFont="1" applyFill="1" applyBorder="1" applyAlignment="1">
      <alignment horizontal="left" vertical="center" wrapText="1"/>
    </xf>
    <xf numFmtId="0" fontId="10" fillId="32" borderId="30" xfId="1" applyFont="1" applyFill="1" applyBorder="1" applyAlignment="1">
      <alignment horizontal="center" vertical="center" wrapText="1"/>
    </xf>
    <xf numFmtId="0" fontId="10" fillId="32" borderId="30" xfId="1" applyFont="1" applyFill="1" applyBorder="1" applyAlignment="1">
      <alignment horizontal="center" vertical="center" wrapText="1" shrinkToFit="1"/>
    </xf>
    <xf numFmtId="0" fontId="10" fillId="32" borderId="3" xfId="1" applyFont="1" applyFill="1" applyBorder="1" applyAlignment="1">
      <alignment horizontal="left" vertical="top" wrapText="1"/>
    </xf>
    <xf numFmtId="0" fontId="10" fillId="32" borderId="2" xfId="1" applyFont="1" applyFill="1" applyBorder="1" applyAlignment="1">
      <alignment horizontal="left" vertical="top" wrapText="1"/>
    </xf>
    <xf numFmtId="0" fontId="10" fillId="32" borderId="5" xfId="1" applyFont="1" applyFill="1" applyBorder="1" applyAlignment="1">
      <alignment horizontal="center" vertical="center" wrapText="1"/>
    </xf>
    <xf numFmtId="0" fontId="10" fillId="32" borderId="3" xfId="1" applyFont="1" applyFill="1" applyBorder="1" applyAlignment="1">
      <alignment horizontal="center" vertical="center" wrapText="1" shrinkToFit="1"/>
    </xf>
    <xf numFmtId="0" fontId="10" fillId="32" borderId="2" xfId="1" applyFont="1" applyFill="1" applyBorder="1" applyAlignment="1">
      <alignment horizontal="center" vertical="center" wrapText="1" shrinkToFit="1"/>
    </xf>
    <xf numFmtId="0" fontId="10" fillId="32" borderId="5" xfId="1" applyFont="1" applyFill="1" applyBorder="1" applyAlignment="1">
      <alignment horizontal="center" vertical="center" wrapText="1" shrinkToFit="1"/>
    </xf>
    <xf numFmtId="0" fontId="2" fillId="0" borderId="0" xfId="1" applyFont="1" applyFill="1" applyAlignment="1">
      <alignment vertical="center" wrapText="1"/>
    </xf>
    <xf numFmtId="0" fontId="10" fillId="34" borderId="3" xfId="1" applyFont="1" applyFill="1" applyBorder="1" applyAlignment="1">
      <alignment vertical="center"/>
    </xf>
    <xf numFmtId="0" fontId="10" fillId="34" borderId="5" xfId="1" applyFont="1" applyFill="1" applyBorder="1" applyAlignment="1">
      <alignment vertical="center"/>
    </xf>
    <xf numFmtId="0" fontId="10" fillId="34" borderId="5" xfId="1" applyFont="1" applyFill="1" applyBorder="1" applyAlignment="1">
      <alignment horizontal="left" vertical="center"/>
    </xf>
    <xf numFmtId="0" fontId="5" fillId="34" borderId="3" xfId="1" applyFont="1" applyFill="1" applyBorder="1" applyAlignment="1">
      <alignment vertical="center"/>
    </xf>
    <xf numFmtId="0" fontId="44" fillId="33" borderId="31" xfId="1" applyFont="1" applyFill="1" applyBorder="1" applyAlignment="1">
      <alignment horizontal="left" vertical="top" wrapText="1"/>
    </xf>
    <xf numFmtId="0" fontId="44" fillId="33" borderId="30" xfId="1" applyFont="1" applyFill="1" applyBorder="1" applyAlignment="1">
      <alignment horizontal="left" vertical="top" wrapText="1"/>
    </xf>
    <xf numFmtId="0" fontId="3" fillId="30" borderId="16" xfId="12" applyFont="1" applyFill="1" applyBorder="1" applyAlignment="1">
      <alignment horizontal="right"/>
    </xf>
    <xf numFmtId="165" fontId="3" fillId="35" borderId="14" xfId="12" applyNumberFormat="1" applyFont="1" applyFill="1" applyBorder="1" applyAlignment="1">
      <alignment horizontal="center" vertical="center"/>
    </xf>
    <xf numFmtId="0" fontId="3" fillId="35" borderId="13" xfId="12" applyFont="1" applyFill="1" applyBorder="1" applyAlignment="1">
      <alignment horizontal="center" vertical="center"/>
    </xf>
    <xf numFmtId="0" fontId="3" fillId="35" borderId="12" xfId="12" applyFont="1" applyFill="1" applyBorder="1" applyAlignment="1">
      <alignment horizontal="center" vertical="center"/>
    </xf>
    <xf numFmtId="0" fontId="48" fillId="0" borderId="0" xfId="12" applyFont="1" applyAlignment="1">
      <alignment horizontal="left"/>
    </xf>
    <xf numFmtId="0" fontId="47" fillId="0" borderId="16" xfId="12" applyFont="1" applyBorder="1" applyAlignment="1">
      <alignment horizontal="center" vertical="center"/>
    </xf>
    <xf numFmtId="0" fontId="2" fillId="0" borderId="16" xfId="12" applyFont="1" applyBorder="1" applyAlignment="1">
      <alignment horizontal="left"/>
    </xf>
    <xf numFmtId="0" fontId="3" fillId="30" borderId="16" xfId="12" applyFont="1" applyFill="1" applyBorder="1" applyAlignment="1">
      <alignment horizontal="right" vertical="center"/>
    </xf>
    <xf numFmtId="0" fontId="2" fillId="0" borderId="16" xfId="12" applyFont="1" applyBorder="1" applyAlignment="1">
      <alignment horizontal="left" vertical="center"/>
    </xf>
    <xf numFmtId="0" fontId="10" fillId="32" borderId="3" xfId="1" applyFont="1" applyFill="1" applyBorder="1" applyAlignment="1">
      <alignment horizontal="center" vertical="center" wrapText="1" shrinkToFit="1"/>
    </xf>
    <xf numFmtId="0" fontId="10" fillId="32" borderId="2" xfId="1" applyFont="1" applyFill="1" applyBorder="1" applyAlignment="1">
      <alignment horizontal="center" vertical="center" wrapText="1" shrinkToFit="1"/>
    </xf>
    <xf numFmtId="0" fontId="10" fillId="32" borderId="5" xfId="1" applyFont="1" applyFill="1" applyBorder="1" applyAlignment="1">
      <alignment horizontal="center" vertical="center" wrapText="1" shrinkToFit="1"/>
    </xf>
    <xf numFmtId="0" fontId="10" fillId="34" borderId="31" xfId="1" applyFont="1" applyFill="1" applyBorder="1" applyAlignment="1">
      <alignment horizontal="center" vertical="center"/>
    </xf>
  </cellXfs>
  <cellStyles count="77"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40% - Accent1 2" xfId="19"/>
    <cellStyle name="40% - Accent2 2" xfId="20"/>
    <cellStyle name="40% - Accent3 2" xfId="21"/>
    <cellStyle name="40% - Accent4 2" xfId="22"/>
    <cellStyle name="40% - Accent5 2" xfId="23"/>
    <cellStyle name="40% - Accent6 2" xfId="24"/>
    <cellStyle name="60% - Accent1 2" xfId="25"/>
    <cellStyle name="60% - Accent2 2" xfId="26"/>
    <cellStyle name="60% - Accent3 2" xfId="27"/>
    <cellStyle name="60% - Accent4 2" xfId="28"/>
    <cellStyle name="60% - Accent5 2" xfId="29"/>
    <cellStyle name="60% - Accent6 2" xfId="30"/>
    <cellStyle name="Accent1 2" xfId="31"/>
    <cellStyle name="Accent2 2" xfId="32"/>
    <cellStyle name="Accent3 2" xfId="33"/>
    <cellStyle name="Accent4 2" xfId="34"/>
    <cellStyle name="Accent5 2" xfId="35"/>
    <cellStyle name="Accent6 2" xfId="36"/>
    <cellStyle name="background" xfId="37"/>
    <cellStyle name="Bad 2" xfId="38"/>
    <cellStyle name="body_tyext" xfId="39"/>
    <cellStyle name="Calculation 2" xfId="40"/>
    <cellStyle name="cell" xfId="41"/>
    <cellStyle name="Check Cell 2" xfId="42"/>
    <cellStyle name="document title" xfId="43"/>
    <cellStyle name="Explanatory Text 2" xfId="44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66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Good 2" xfId="45"/>
    <cellStyle name="group" xfId="46"/>
    <cellStyle name="Header" xfId="47"/>
    <cellStyle name="Heading" xfId="48"/>
    <cellStyle name="Heading 1 2" xfId="49"/>
    <cellStyle name="Heading 2 2" xfId="50"/>
    <cellStyle name="Heading 3 2" xfId="51"/>
    <cellStyle name="Heading 4 2" xfId="52"/>
    <cellStyle name="Hyperlink" xfId="6" builtinId="8" hidden="1"/>
    <cellStyle name="Hyperlink" xfId="8" builtinId="8" hidden="1"/>
    <cellStyle name="Hyperlink" xfId="10" builtinId="8" hidden="1"/>
    <cellStyle name="Hyperlink" xfId="65" builtinId="8" hidden="1"/>
    <cellStyle name="Hyperlink" xfId="68" builtinId="8" hidden="1"/>
    <cellStyle name="Hyperlink" xfId="70" builtinId="8" hidden="1"/>
    <cellStyle name="Hyperlink" xfId="72" builtinId="8" hidden="1"/>
    <cellStyle name="Input 2" xfId="53"/>
    <cellStyle name="Linked Cell 2" xfId="54"/>
    <cellStyle name="Neutral 2" xfId="55"/>
    <cellStyle name="Normal" xfId="0" builtinId="0"/>
    <cellStyle name="Normal 2" xfId="1"/>
    <cellStyle name="Normal 3" xfId="2"/>
    <cellStyle name="Normal 3 2" xfId="74"/>
    <cellStyle name="Normal 4" xfId="12"/>
    <cellStyle name="Normal_Sheet1" xfId="67"/>
    <cellStyle name="Note 2" xfId="56"/>
    <cellStyle name="Output 2" xfId="57"/>
    <cellStyle name="page title" xfId="3"/>
    <cellStyle name="page title 2" xfId="58"/>
    <cellStyle name="Paragrap title" xfId="59"/>
    <cellStyle name="Table header" xfId="4"/>
    <cellStyle name="Table header 2" xfId="60"/>
    <cellStyle name="Table header 2 2" xfId="75"/>
    <cellStyle name="Table header 3" xfId="76"/>
    <cellStyle name="table_cell" xfId="5"/>
    <cellStyle name="Title 2" xfId="61"/>
    <cellStyle name="Total 2" xfId="62"/>
    <cellStyle name="Warning Text 2" xfId="63"/>
    <cellStyle name="標準_040802 債権ＤＢ" xfId="64"/>
  </cellStyles>
  <dxfs count="0"/>
  <tableStyles count="0" defaultTableStyle="TableStyleMedium9" defaultPivotStyle="PivotStyleLight16"/>
  <colors>
    <mruColors>
      <color rgb="FF0000FF"/>
      <color rgb="FF003399"/>
      <color rgb="FF0070C0"/>
      <color rgb="FF3366CC"/>
      <color rgb="FF000066"/>
      <color rgb="FF09C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2:G18"/>
  <sheetViews>
    <sheetView workbookViewId="0">
      <selection activeCell="B13" sqref="B13"/>
    </sheetView>
  </sheetViews>
  <sheetFormatPr defaultColWidth="8.88671875" defaultRowHeight="13.2"/>
  <cols>
    <col min="1" max="1" width="2.44140625" style="15" customWidth="1"/>
    <col min="2" max="2" width="22.44140625" style="16" customWidth="1"/>
    <col min="3" max="3" width="10.44140625" style="15" customWidth="1"/>
    <col min="4" max="4" width="16.44140625" style="15" customWidth="1"/>
    <col min="5" max="5" width="9.109375" style="15" customWidth="1"/>
    <col min="6" max="7" width="35.44140625" style="15" customWidth="1"/>
    <col min="8" max="16384" width="8.88671875" style="15"/>
  </cols>
  <sheetData>
    <row r="2" spans="1:7" s="41" customFormat="1" ht="75.75" customHeight="1">
      <c r="A2" s="43"/>
      <c r="B2" s="42"/>
      <c r="C2" s="98" t="s">
        <v>24</v>
      </c>
      <c r="D2" s="98"/>
      <c r="E2" s="98"/>
      <c r="F2" s="98"/>
      <c r="G2" s="98"/>
    </row>
    <row r="3" spans="1:7">
      <c r="B3" s="40"/>
      <c r="C3" s="39"/>
      <c r="F3" s="38"/>
    </row>
    <row r="4" spans="1:7" ht="14.25" customHeight="1">
      <c r="B4" s="93" t="s">
        <v>20</v>
      </c>
      <c r="C4" s="99"/>
      <c r="D4" s="99"/>
      <c r="E4" s="99"/>
      <c r="F4" s="93" t="s">
        <v>19</v>
      </c>
      <c r="G4" s="37"/>
    </row>
    <row r="5" spans="1:7" ht="14.25" customHeight="1">
      <c r="B5" s="93" t="s">
        <v>18</v>
      </c>
      <c r="C5" s="99"/>
      <c r="D5" s="99"/>
      <c r="E5" s="99"/>
      <c r="F5" s="93" t="s">
        <v>17</v>
      </c>
      <c r="G5" s="37"/>
    </row>
    <row r="6" spans="1:7" ht="15.75" customHeight="1">
      <c r="B6" s="100"/>
      <c r="C6" s="101"/>
      <c r="D6" s="101"/>
      <c r="E6" s="101"/>
      <c r="F6" s="93" t="s">
        <v>16</v>
      </c>
      <c r="G6" s="37"/>
    </row>
    <row r="7" spans="1:7" ht="13.5" customHeight="1">
      <c r="B7" s="100"/>
      <c r="C7" s="101"/>
      <c r="D7" s="101"/>
      <c r="E7" s="101"/>
      <c r="F7" s="93" t="s">
        <v>15</v>
      </c>
      <c r="G7" s="58"/>
    </row>
    <row r="8" spans="1:7">
      <c r="B8" s="36"/>
      <c r="C8" s="35"/>
      <c r="D8" s="34"/>
      <c r="E8" s="34"/>
      <c r="F8" s="33"/>
      <c r="G8" s="32"/>
    </row>
    <row r="9" spans="1:7">
      <c r="B9" s="31"/>
      <c r="C9" s="30"/>
      <c r="D9" s="30"/>
      <c r="E9" s="30"/>
      <c r="F9" s="30"/>
    </row>
    <row r="10" spans="1:7">
      <c r="B10" s="97" t="s">
        <v>14</v>
      </c>
    </row>
    <row r="11" spans="1:7" s="29" customFormat="1">
      <c r="B11" s="94" t="s">
        <v>13</v>
      </c>
      <c r="C11" s="95" t="s">
        <v>0</v>
      </c>
      <c r="D11" s="95" t="s">
        <v>12</v>
      </c>
      <c r="E11" s="95" t="s">
        <v>11</v>
      </c>
      <c r="F11" s="95" t="s">
        <v>10</v>
      </c>
      <c r="G11" s="96" t="s">
        <v>9</v>
      </c>
    </row>
    <row r="12" spans="1:7" s="17" customFormat="1">
      <c r="B12" s="44">
        <v>45456</v>
      </c>
      <c r="C12" s="45" t="s">
        <v>26</v>
      </c>
      <c r="D12" s="25"/>
      <c r="E12" s="25"/>
      <c r="F12" s="46" t="s">
        <v>48</v>
      </c>
      <c r="G12" s="28"/>
    </row>
    <row r="13" spans="1:7" s="17" customFormat="1" ht="21.75" customHeight="1">
      <c r="B13" s="27"/>
      <c r="C13" s="26"/>
      <c r="D13" s="25"/>
      <c r="E13" s="25"/>
      <c r="F13" s="24"/>
      <c r="G13" s="23"/>
    </row>
    <row r="14" spans="1:7" s="17" customFormat="1" ht="19.5" customHeight="1">
      <c r="B14" s="27"/>
      <c r="C14" s="26"/>
      <c r="D14" s="25"/>
      <c r="E14" s="25"/>
      <c r="F14" s="24"/>
      <c r="G14" s="23"/>
    </row>
    <row r="15" spans="1:7" s="17" customFormat="1" ht="21.75" customHeight="1">
      <c r="B15" s="27"/>
      <c r="C15" s="26"/>
      <c r="D15" s="25"/>
      <c r="E15" s="25"/>
      <c r="F15" s="24"/>
      <c r="G15" s="23"/>
    </row>
    <row r="16" spans="1:7" s="17" customFormat="1" ht="19.5" customHeight="1">
      <c r="B16" s="27"/>
      <c r="C16" s="26"/>
      <c r="D16" s="25"/>
      <c r="E16" s="25"/>
      <c r="F16" s="24"/>
      <c r="G16" s="23"/>
    </row>
    <row r="17" spans="2:7" s="17" customFormat="1" ht="21.75" customHeight="1">
      <c r="B17" s="27"/>
      <c r="C17" s="26"/>
      <c r="D17" s="25"/>
      <c r="E17" s="25"/>
      <c r="F17" s="24"/>
      <c r="G17" s="23"/>
    </row>
    <row r="18" spans="2:7" s="17" customFormat="1" ht="19.5" customHeight="1">
      <c r="B18" s="22"/>
      <c r="C18" s="21"/>
      <c r="D18" s="20"/>
      <c r="E18" s="20"/>
      <c r="F18" s="19"/>
      <c r="G18" s="18"/>
    </row>
  </sheetData>
  <mergeCells count="5">
    <mergeCell ref="C2:G2"/>
    <mergeCell ref="C4:E4"/>
    <mergeCell ref="C5:E5"/>
    <mergeCell ref="B6:B7"/>
    <mergeCell ref="C6:E7"/>
  </mergeCells>
  <pageMargins left="0.47013888888888888" right="0.47013888888888888" top="0.5" bottom="0.35138888888888886" header="0.51180555555555562" footer="0.1701388888888889"/>
  <headerFooter alignWithMargins="0">
    <oddFooter>&amp;L&amp;"Tahoma,Regular"&amp;8&amp;F&amp;C&amp;"Tahoma,Regular"&amp;8Internal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5"/>
  <sheetViews>
    <sheetView tabSelected="1" zoomScaleNormal="100" zoomScalePageLayoutView="145" workbookViewId="0">
      <selection activeCell="C11" sqref="C11"/>
    </sheetView>
  </sheetViews>
  <sheetFormatPr defaultColWidth="8.88671875" defaultRowHeight="13.2"/>
  <cols>
    <col min="1" max="1" width="13.21875" style="62" customWidth="1"/>
    <col min="2" max="2" width="31.109375" style="62" customWidth="1"/>
    <col min="3" max="3" width="73.44140625" style="3" bestFit="1" customWidth="1"/>
    <col min="4" max="4" width="37.6640625" style="3" bestFit="1" customWidth="1"/>
    <col min="5" max="5" width="8.109375" style="3" customWidth="1"/>
    <col min="6" max="6" width="8.44140625" style="3" bestFit="1" customWidth="1"/>
    <col min="7" max="7" width="9.44140625" style="3" customWidth="1"/>
    <col min="8" max="8" width="40.44140625" style="2" bestFit="1" customWidth="1"/>
    <col min="9" max="16384" width="8.88671875" style="1"/>
  </cols>
  <sheetData>
    <row r="1" spans="1:13" s="5" customFormat="1" ht="21">
      <c r="A1" s="10"/>
      <c r="B1" s="10"/>
      <c r="C1" s="72" t="s">
        <v>49</v>
      </c>
      <c r="D1" s="8"/>
      <c r="E1" s="8"/>
      <c r="F1" s="8"/>
      <c r="G1" s="8"/>
      <c r="H1" s="13"/>
    </row>
    <row r="2" spans="1:13" s="5" customFormat="1" ht="14.25" customHeight="1">
      <c r="A2" s="10"/>
      <c r="B2" s="10"/>
      <c r="C2" s="66"/>
      <c r="D2" s="8"/>
      <c r="E2" s="12"/>
      <c r="F2" s="8"/>
      <c r="G2" s="8"/>
      <c r="H2" s="13"/>
    </row>
    <row r="3" spans="1:13" s="5" customFormat="1">
      <c r="A3" s="10"/>
      <c r="B3" s="10"/>
      <c r="C3" s="10" t="s">
        <v>34</v>
      </c>
      <c r="D3" s="8"/>
      <c r="E3" s="12"/>
      <c r="F3" s="8"/>
      <c r="G3" s="8"/>
      <c r="H3" s="13"/>
    </row>
    <row r="4" spans="1:13" s="5" customFormat="1" ht="15" customHeight="1">
      <c r="A4" s="10"/>
      <c r="B4" s="10"/>
      <c r="C4" s="10" t="s">
        <v>30</v>
      </c>
      <c r="D4" s="8"/>
      <c r="E4" s="12"/>
      <c r="F4" s="8"/>
      <c r="G4" s="8"/>
      <c r="H4" s="11"/>
    </row>
    <row r="5" spans="1:13" s="5" customFormat="1">
      <c r="A5" s="10"/>
      <c r="B5" s="10"/>
      <c r="C5" s="10" t="s">
        <v>27</v>
      </c>
      <c r="D5" s="7"/>
      <c r="E5" s="9"/>
      <c r="F5" s="8"/>
      <c r="G5" s="7"/>
      <c r="H5" s="6"/>
    </row>
    <row r="6" spans="1:13" s="57" customFormat="1">
      <c r="A6" s="73" t="s">
        <v>2</v>
      </c>
      <c r="B6" s="74" t="s">
        <v>6</v>
      </c>
      <c r="C6" s="74" t="s">
        <v>7</v>
      </c>
      <c r="D6" s="74" t="s">
        <v>8</v>
      </c>
      <c r="E6" s="74" t="s">
        <v>21</v>
      </c>
      <c r="F6" s="74" t="s">
        <v>22</v>
      </c>
      <c r="H6" s="56"/>
      <c r="I6" s="55"/>
      <c r="J6" s="55"/>
      <c r="K6" s="55"/>
      <c r="L6" s="55"/>
      <c r="M6" s="55"/>
    </row>
    <row r="7" spans="1:13" s="54" customFormat="1">
      <c r="A7" s="65" t="s">
        <v>3</v>
      </c>
      <c r="B7" s="64">
        <f>COUNTIF(E22:E830,B6)</f>
        <v>0</v>
      </c>
      <c r="C7" s="64">
        <f>COUNTIF($E$26:$E$889,$C$6)</f>
        <v>0</v>
      </c>
      <c r="D7" s="64">
        <f>COUNTIF($E$26:$E$889,$D$6)</f>
        <v>0</v>
      </c>
      <c r="E7" s="64">
        <f>COUNTIF($E$26:$E$889,$E$6)</f>
        <v>0</v>
      </c>
      <c r="F7" s="64">
        <f>COUNTIF($E$26:$E$889,$F$6)</f>
        <v>0</v>
      </c>
      <c r="H7" s="56"/>
      <c r="I7" s="55"/>
      <c r="J7" s="55"/>
      <c r="K7" s="55"/>
      <c r="L7" s="55"/>
      <c r="M7" s="55"/>
    </row>
    <row r="8" spans="1:13" s="54" customFormat="1">
      <c r="A8" s="65" t="s">
        <v>4</v>
      </c>
      <c r="B8" s="64">
        <f>COUNTIF($F$22:$F$889,"Passed")</f>
        <v>0</v>
      </c>
      <c r="C8" s="64">
        <f>COUNTIF($F$26:$F$889,$C$6)</f>
        <v>0</v>
      </c>
      <c r="D8" s="64">
        <f>COUNTIF($F$26:$F$889,$D$6)</f>
        <v>0</v>
      </c>
      <c r="E8" s="64">
        <f>COUNTIF($F$26:$F$889,$E$6)</f>
        <v>0</v>
      </c>
      <c r="F8" s="64">
        <f>COUNTIF($F$26:$F$889,$F$6)</f>
        <v>0</v>
      </c>
      <c r="H8" s="56"/>
      <c r="I8" s="55"/>
      <c r="J8" s="55"/>
      <c r="K8" s="55"/>
      <c r="L8" s="55"/>
      <c r="M8" s="55"/>
    </row>
    <row r="9" spans="1:13" s="54" customFormat="1">
      <c r="A9" s="65" t="s">
        <v>5</v>
      </c>
      <c r="B9" s="64">
        <f>COUNTIF($G$22:$G$889,$B$6)</f>
        <v>0</v>
      </c>
      <c r="C9" s="64">
        <f>COUNTIF($G$26:$G$889,C6)</f>
        <v>0</v>
      </c>
      <c r="D9" s="64">
        <f>COUNTIF($G$26:$G$889,D6)</f>
        <v>0</v>
      </c>
      <c r="E9" s="64">
        <f>COUNTIF($G$26:$G$889,E6)</f>
        <v>0</v>
      </c>
      <c r="F9" s="64">
        <f>COUNTIF($G$26:$G$889,F6)</f>
        <v>0</v>
      </c>
      <c r="H9" s="56"/>
      <c r="I9" s="55"/>
      <c r="J9" s="55"/>
      <c r="K9" s="55"/>
      <c r="L9" s="55"/>
      <c r="M9" s="55"/>
    </row>
    <row r="10" spans="1:13" s="49" customFormat="1" ht="12">
      <c r="A10" s="73" t="s">
        <v>23</v>
      </c>
      <c r="B10" s="74">
        <f>SUM(B7:B9)</f>
        <v>0</v>
      </c>
      <c r="C10" s="75">
        <f>SUM(C7:C9)</f>
        <v>0</v>
      </c>
      <c r="D10" s="75">
        <f>SUM(D7:D9)</f>
        <v>0</v>
      </c>
      <c r="E10" s="75">
        <f>SUM(E7:E9)</f>
        <v>0</v>
      </c>
      <c r="F10" s="75">
        <f>SUM(F7:F9)</f>
        <v>0</v>
      </c>
      <c r="H10" s="51"/>
      <c r="I10" s="50"/>
      <c r="J10" s="50"/>
      <c r="K10" s="50"/>
      <c r="L10" s="50"/>
      <c r="M10" s="50"/>
    </row>
    <row r="11" spans="1:13" s="49" customFormat="1" ht="24">
      <c r="A11" s="73" t="s">
        <v>25</v>
      </c>
      <c r="B11" s="74">
        <f>COUNTA(B22:B890)</f>
        <v>4</v>
      </c>
      <c r="C11" s="53"/>
      <c r="D11" s="52"/>
      <c r="E11" s="52"/>
      <c r="F11" s="52"/>
      <c r="H11" s="51"/>
      <c r="I11" s="50"/>
      <c r="J11" s="50"/>
      <c r="K11" s="50"/>
      <c r="L11" s="50"/>
      <c r="M11" s="50"/>
    </row>
    <row r="12" spans="1:13" s="49" customFormat="1">
      <c r="A12" s="63"/>
      <c r="B12" s="63"/>
      <c r="C12" s="51"/>
      <c r="D12" s="51"/>
      <c r="E12" s="51"/>
      <c r="F12" s="51"/>
      <c r="G12" s="51"/>
      <c r="H12" s="51"/>
      <c r="I12" s="50"/>
      <c r="J12" s="50"/>
      <c r="K12" s="50"/>
      <c r="L12" s="50"/>
      <c r="M12" s="50"/>
    </row>
    <row r="14" spans="1:13" ht="26.25" customHeight="1">
      <c r="A14" s="76" t="s">
        <v>41</v>
      </c>
      <c r="B14" s="77" t="s">
        <v>40</v>
      </c>
      <c r="C14" s="78" t="s">
        <v>28</v>
      </c>
      <c r="D14" s="79" t="s">
        <v>1</v>
      </c>
      <c r="E14" s="102" t="s">
        <v>42</v>
      </c>
      <c r="F14" s="103"/>
      <c r="G14" s="104"/>
      <c r="H14" s="79" t="s">
        <v>43</v>
      </c>
    </row>
    <row r="15" spans="1:13">
      <c r="A15" s="80"/>
      <c r="B15" s="81"/>
      <c r="C15" s="82"/>
      <c r="D15" s="83"/>
      <c r="E15" s="84" t="s">
        <v>3</v>
      </c>
      <c r="F15" s="84" t="s">
        <v>4</v>
      </c>
      <c r="G15" s="84" t="s">
        <v>5</v>
      </c>
      <c r="H15" s="85"/>
    </row>
    <row r="16" spans="1:13" s="86" customFormat="1" ht="12.75" customHeight="1">
      <c r="A16" s="87"/>
      <c r="B16" s="90" t="s">
        <v>46</v>
      </c>
      <c r="C16" s="88"/>
      <c r="D16" s="105"/>
      <c r="E16" s="105"/>
      <c r="F16" s="105"/>
      <c r="G16" s="105"/>
      <c r="H16" s="89"/>
    </row>
    <row r="17" spans="1:8" s="4" customFormat="1" ht="79.2" collapsed="1">
      <c r="A17" s="61"/>
      <c r="B17" s="91" t="s">
        <v>44</v>
      </c>
      <c r="C17" s="92" t="s">
        <v>45</v>
      </c>
      <c r="D17" s="61"/>
      <c r="E17" s="59"/>
      <c r="F17" s="59"/>
      <c r="G17" s="59"/>
      <c r="H17" s="60"/>
    </row>
    <row r="18" spans="1:8" s="4" customFormat="1" ht="52.8" hidden="1">
      <c r="A18" s="67">
        <v>1</v>
      </c>
      <c r="B18" s="68" t="s">
        <v>32</v>
      </c>
      <c r="C18" s="69" t="s">
        <v>29</v>
      </c>
      <c r="D18" s="14"/>
      <c r="E18" s="47"/>
      <c r="F18" s="48"/>
      <c r="G18" s="59"/>
      <c r="H18" s="60"/>
    </row>
    <row r="19" spans="1:8" s="4" customFormat="1" ht="52.8" hidden="1">
      <c r="A19" s="67">
        <v>2</v>
      </c>
      <c r="B19" s="68" t="s">
        <v>31</v>
      </c>
      <c r="C19" s="69" t="s">
        <v>29</v>
      </c>
      <c r="D19" s="14"/>
      <c r="E19" s="47"/>
      <c r="F19" s="48"/>
      <c r="G19" s="59"/>
      <c r="H19" s="60"/>
    </row>
    <row r="20" spans="1:8" s="4" customFormat="1" ht="39.6">
      <c r="A20" s="67">
        <v>1</v>
      </c>
      <c r="B20" s="70" t="s">
        <v>35</v>
      </c>
      <c r="C20" s="71" t="s">
        <v>36</v>
      </c>
      <c r="D20" s="14" t="s">
        <v>37</v>
      </c>
      <c r="E20" s="47"/>
      <c r="F20" s="48"/>
      <c r="G20" s="59"/>
      <c r="H20" s="60"/>
    </row>
    <row r="21" spans="1:8" s="4" customFormat="1" ht="52.8">
      <c r="A21" s="67">
        <v>2</v>
      </c>
      <c r="B21" s="70" t="s">
        <v>38</v>
      </c>
      <c r="C21" s="71" t="s">
        <v>39</v>
      </c>
      <c r="D21" s="14"/>
      <c r="E21" s="47"/>
      <c r="F21" s="48"/>
      <c r="G21" s="59"/>
      <c r="H21" s="60"/>
    </row>
    <row r="22" spans="1:8" s="86" customFormat="1" ht="12.75" customHeight="1">
      <c r="A22" s="87"/>
      <c r="B22" s="90" t="s">
        <v>47</v>
      </c>
      <c r="C22" s="88"/>
      <c r="D22" s="105"/>
      <c r="E22" s="105"/>
      <c r="F22" s="105"/>
      <c r="G22" s="105"/>
      <c r="H22" s="89"/>
    </row>
    <row r="23" spans="1:8" s="4" customFormat="1" ht="79.2" collapsed="1">
      <c r="A23" s="61"/>
      <c r="B23" s="91" t="s">
        <v>44</v>
      </c>
      <c r="C23" s="92" t="s">
        <v>45</v>
      </c>
      <c r="D23" s="61"/>
      <c r="E23" s="59"/>
      <c r="F23" s="59"/>
      <c r="G23" s="59"/>
      <c r="H23" s="60"/>
    </row>
    <row r="24" spans="1:8" s="4" customFormat="1" ht="52.8">
      <c r="A24" s="67">
        <v>4</v>
      </c>
      <c r="B24" s="68" t="s">
        <v>33</v>
      </c>
      <c r="C24" s="69" t="s">
        <v>29</v>
      </c>
      <c r="D24" s="14"/>
      <c r="E24" s="47"/>
      <c r="F24" s="48"/>
      <c r="G24" s="59"/>
      <c r="H24" s="60"/>
    </row>
    <row r="25" spans="1:8" s="4" customFormat="1" ht="52.8">
      <c r="A25" s="67">
        <v>5</v>
      </c>
      <c r="B25" s="68" t="s">
        <v>33</v>
      </c>
      <c r="C25" s="69" t="s">
        <v>29</v>
      </c>
      <c r="D25" s="14"/>
      <c r="E25" s="47"/>
      <c r="F25" s="48"/>
      <c r="G25" s="59"/>
      <c r="H25" s="60"/>
    </row>
  </sheetData>
  <mergeCells count="3">
    <mergeCell ref="E14:G14"/>
    <mergeCell ref="D16:G16"/>
    <mergeCell ref="D22:G22"/>
  </mergeCells>
  <dataValidations count="2">
    <dataValidation type="list" allowBlank="1" showInputMessage="1" showErrorMessage="1" sqref="E24:E25 G24:G25 G18:G21 E18:E21">
      <formula1>"Passed, Failed, N/A, Not Run, Blocked"</formula1>
    </dataValidation>
    <dataValidation type="list" allowBlank="1" showInputMessage="1" showErrorMessage="1" sqref="E17:G17 E23:G23">
      <formula1>"Passed, Failed, 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FeatureName</vt:lpstr>
    </vt:vector>
  </TitlesOfParts>
  <Manager>Nga Nguyen</Manager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 Details_checklist</dc:title>
  <dc:subject>v0.1</dc:subject>
  <dc:creator>Huong Dang</dc:creator>
  <dc:description>v1.2: effective date: 1-Jan-04: Updated with ToanND IP on Dec-2003: Add document control session_x000d_
Add "&lt;Add more rows if needed&gt;"_x000d_
v1.3: Effective date: 15-Jun-04: add question about Regression test for maintenance projects.</dc:description>
  <cp:lastModifiedBy>Windows User</cp:lastModifiedBy>
  <cp:lastPrinted>2010-08-19T07:54:13Z</cp:lastPrinted>
  <dcterms:created xsi:type="dcterms:W3CDTF">2001-08-11T03:43:17Z</dcterms:created>
  <dcterms:modified xsi:type="dcterms:W3CDTF">2026-03-13T07:10:00Z</dcterms:modified>
  <cp:category>CL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HeaderStyleDefinitions">
    <vt:lpwstr/>
  </property>
</Properties>
</file>